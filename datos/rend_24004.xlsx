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rthac-my.sharepoint.com/personal/onavarrete_earth_ac_cr/Documents/MAT201_2023/book_project/EPAR/EPAR2/datos/"/>
    </mc:Choice>
  </mc:AlternateContent>
  <xr:revisionPtr revIDLastSave="1" documentId="8_{1D79C273-39B0-4BB8-8B8F-F2DB7D408DD2}" xr6:coauthVersionLast="47" xr6:coauthVersionMax="47" xr10:uidLastSave="{5DA43817-3066-4EFD-8046-6E996B3EDE43}"/>
  <bookViews>
    <workbookView xWindow="-110" yWindow="-110" windowWidth="19420" windowHeight="10300" xr2:uid="{D2851896-EE44-46B1-A4E2-0FC77E871B9D}"/>
  </bookViews>
  <sheets>
    <sheet name="rendimiento_ha" sheetId="1" r:id="rId1"/>
  </sheets>
  <definedNames>
    <definedName name="_xlnm._FilterDatabase" localSheetId="0" hidden="1">rendimiento_ha!$A$1:$E$1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E43" i="1" s="1"/>
  <c r="E42" i="1"/>
  <c r="D42" i="1"/>
  <c r="D41" i="1"/>
  <c r="E41" i="1" s="1"/>
  <c r="E40" i="1"/>
  <c r="D40" i="1"/>
  <c r="E39" i="1"/>
  <c r="D39" i="1"/>
  <c r="E38" i="1"/>
  <c r="D38" i="1"/>
  <c r="D37" i="1"/>
  <c r="E37" i="1" s="1"/>
  <c r="D36" i="1"/>
  <c r="E36" i="1" s="1"/>
  <c r="D35" i="1"/>
  <c r="E35" i="1" s="1"/>
  <c r="E34" i="1"/>
  <c r="D34" i="1"/>
  <c r="D33" i="1"/>
  <c r="E33" i="1" s="1"/>
  <c r="E32" i="1"/>
  <c r="D32" i="1"/>
  <c r="D31" i="1"/>
  <c r="E31" i="1" s="1"/>
  <c r="E30" i="1"/>
  <c r="D30" i="1"/>
  <c r="E29" i="1"/>
  <c r="D29" i="1"/>
  <c r="E28" i="1"/>
  <c r="D28" i="1"/>
  <c r="D27" i="1"/>
  <c r="E27" i="1" s="1"/>
  <c r="D26" i="1"/>
  <c r="E26" i="1" s="1"/>
  <c r="D25" i="1"/>
  <c r="E25" i="1" s="1"/>
  <c r="E24" i="1"/>
  <c r="D24" i="1"/>
  <c r="D23" i="1"/>
  <c r="E23" i="1" s="1"/>
  <c r="E22" i="1"/>
  <c r="D22" i="1"/>
  <c r="D21" i="1"/>
  <c r="E21" i="1" s="1"/>
  <c r="E20" i="1"/>
  <c r="D20" i="1"/>
  <c r="E19" i="1"/>
  <c r="D19" i="1"/>
  <c r="E18" i="1"/>
  <c r="D18" i="1"/>
  <c r="D17" i="1"/>
  <c r="E17" i="1" s="1"/>
  <c r="D16" i="1"/>
  <c r="E16" i="1" s="1"/>
  <c r="D15" i="1"/>
  <c r="E15" i="1" s="1"/>
  <c r="E14" i="1"/>
  <c r="D14" i="1"/>
  <c r="D13" i="1"/>
  <c r="E13" i="1" s="1"/>
  <c r="E12" i="1"/>
  <c r="D12" i="1"/>
  <c r="D11" i="1"/>
  <c r="E11" i="1" s="1"/>
  <c r="E10" i="1"/>
  <c r="D10" i="1"/>
  <c r="E9" i="1"/>
  <c r="D9" i="1"/>
  <c r="E8" i="1"/>
  <c r="D8" i="1"/>
  <c r="D7" i="1"/>
  <c r="E7" i="1" s="1"/>
  <c r="D6" i="1"/>
  <c r="E6" i="1" s="1"/>
  <c r="D5" i="1"/>
  <c r="E5" i="1" s="1"/>
  <c r="E4" i="1"/>
  <c r="D4" i="1"/>
  <c r="D3" i="1"/>
  <c r="E3" i="1" s="1"/>
  <c r="E2" i="1"/>
  <c r="D2" i="1"/>
</calcChain>
</file>

<file path=xl/sharedStrings.xml><?xml version="1.0" encoding="utf-8"?>
<sst xmlns="http://schemas.openxmlformats.org/spreadsheetml/2006/main" count="47" uniqueCount="12">
  <si>
    <t xml:space="preserve">Tratamiento </t>
  </si>
  <si>
    <t>Parcela</t>
  </si>
  <si>
    <t xml:space="preserve">plantas_ hectarea </t>
  </si>
  <si>
    <t>Rendimiento_ha</t>
  </si>
  <si>
    <t>T1</t>
  </si>
  <si>
    <t>T2</t>
  </si>
  <si>
    <t>T3</t>
  </si>
  <si>
    <t>T4</t>
  </si>
  <si>
    <t>T5</t>
  </si>
  <si>
    <t>T6</t>
  </si>
  <si>
    <t>T7</t>
  </si>
  <si>
    <t xml:space="preserve">peso_promedio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</si>
</sst>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2AC6-5DE4-4B34-A68D-CC7F847C7823}">
  <dimension ref="A1:E43"/>
  <sheetViews>
    <sheetView tabSelected="1" workbookViewId="0">
      <selection activeCell="C2" sqref="C2"/>
    </sheetView>
  </sheetViews>
  <sheetFormatPr baseColWidth="10" defaultColWidth="8.81640625" defaultRowHeight="14.5" x14ac:dyDescent="0.35"/>
  <cols>
    <col min="3" max="3" width="15" bestFit="1" customWidth="1"/>
    <col min="4" max="4" width="19.81640625" bestFit="1" customWidth="1"/>
    <col min="5" max="5" width="15.81640625" bestFit="1" customWidth="1"/>
  </cols>
  <sheetData>
    <row r="1" spans="1:5" x14ac:dyDescent="0.3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</row>
    <row r="2" spans="1:5" x14ac:dyDescent="0.35">
      <c r="A2" s="1" t="s">
        <v>4</v>
      </c>
      <c r="B2" s="1">
        <v>1</v>
      </c>
      <c r="C2" s="2">
        <v>215.46</v>
      </c>
      <c r="D2" s="2">
        <f>57143*0.84</f>
        <v>48000.119999999995</v>
      </c>
      <c r="E2" s="2">
        <f>(C2*D2*1.31)/1000000</f>
        <v>13.548158670312</v>
      </c>
    </row>
    <row r="3" spans="1:5" x14ac:dyDescent="0.35">
      <c r="A3" s="1" t="s">
        <v>4</v>
      </c>
      <c r="B3" s="1">
        <v>2</v>
      </c>
      <c r="C3" s="2">
        <v>230.8</v>
      </c>
      <c r="D3" s="2">
        <f t="shared" ref="D3:D7" si="0">57143*0.84</f>
        <v>48000.119999999995</v>
      </c>
      <c r="E3" s="2">
        <f t="shared" ref="E3:E43" si="1">(C3*D3*1.31)/1000000</f>
        <v>14.512740281759998</v>
      </c>
    </row>
    <row r="4" spans="1:5" x14ac:dyDescent="0.35">
      <c r="A4" s="1" t="s">
        <v>4</v>
      </c>
      <c r="B4" s="1">
        <v>3</v>
      </c>
      <c r="C4" s="2">
        <v>127</v>
      </c>
      <c r="D4" s="2">
        <f t="shared" si="0"/>
        <v>48000.119999999995</v>
      </c>
      <c r="E4" s="2">
        <f t="shared" si="1"/>
        <v>7.9857799643999989</v>
      </c>
    </row>
    <row r="5" spans="1:5" x14ac:dyDescent="0.35">
      <c r="A5" s="1" t="s">
        <v>4</v>
      </c>
      <c r="B5" s="1">
        <v>4</v>
      </c>
      <c r="C5" s="2">
        <v>128</v>
      </c>
      <c r="D5" s="2">
        <f t="shared" si="0"/>
        <v>48000.119999999995</v>
      </c>
      <c r="E5" s="2">
        <f t="shared" si="1"/>
        <v>8.0486601215999993</v>
      </c>
    </row>
    <row r="6" spans="1:5" x14ac:dyDescent="0.35">
      <c r="A6" s="1" t="s">
        <v>4</v>
      </c>
      <c r="B6" s="1">
        <v>5</v>
      </c>
      <c r="C6" s="2">
        <v>145</v>
      </c>
      <c r="D6" s="2">
        <f t="shared" si="0"/>
        <v>48000.119999999995</v>
      </c>
      <c r="E6" s="2">
        <f t="shared" si="1"/>
        <v>9.117622793999999</v>
      </c>
    </row>
    <row r="7" spans="1:5" x14ac:dyDescent="0.35">
      <c r="A7" s="1" t="s">
        <v>4</v>
      </c>
      <c r="B7" s="1">
        <v>6</v>
      </c>
      <c r="C7" s="2">
        <v>130</v>
      </c>
      <c r="D7" s="2">
        <f t="shared" si="0"/>
        <v>48000.119999999995</v>
      </c>
      <c r="E7" s="2">
        <f t="shared" si="1"/>
        <v>8.1744204360000001</v>
      </c>
    </row>
    <row r="8" spans="1:5" x14ac:dyDescent="0.35">
      <c r="A8" s="1" t="s">
        <v>5</v>
      </c>
      <c r="B8" s="1">
        <v>1</v>
      </c>
      <c r="C8" s="2">
        <v>263</v>
      </c>
      <c r="D8">
        <f>57143*0.85</f>
        <v>48571.549999999996</v>
      </c>
      <c r="E8" s="2">
        <f t="shared" si="1"/>
        <v>16.734356121499999</v>
      </c>
    </row>
    <row r="9" spans="1:5" x14ac:dyDescent="0.35">
      <c r="A9" s="1" t="s">
        <v>5</v>
      </c>
      <c r="B9" s="1">
        <v>2</v>
      </c>
      <c r="C9" s="2">
        <v>222</v>
      </c>
      <c r="D9">
        <f t="shared" ref="D9:D13" si="2">57143*0.85</f>
        <v>48571.549999999996</v>
      </c>
      <c r="E9" s="2">
        <f t="shared" si="1"/>
        <v>14.125578171000001</v>
      </c>
    </row>
    <row r="10" spans="1:5" x14ac:dyDescent="0.35">
      <c r="A10" s="1" t="s">
        <v>5</v>
      </c>
      <c r="B10" s="1">
        <v>3</v>
      </c>
      <c r="C10" s="2">
        <v>211.38</v>
      </c>
      <c r="D10">
        <f t="shared" si="2"/>
        <v>48571.549999999996</v>
      </c>
      <c r="E10" s="2">
        <f t="shared" si="1"/>
        <v>13.449841053089999</v>
      </c>
    </row>
    <row r="11" spans="1:5" x14ac:dyDescent="0.35">
      <c r="A11" s="1" t="s">
        <v>5</v>
      </c>
      <c r="B11" s="1">
        <v>4</v>
      </c>
      <c r="C11" s="2">
        <v>203.5</v>
      </c>
      <c r="D11">
        <f t="shared" si="2"/>
        <v>48571.549999999996</v>
      </c>
      <c r="E11" s="2">
        <f t="shared" si="1"/>
        <v>12.948446656749999</v>
      </c>
    </row>
    <row r="12" spans="1:5" x14ac:dyDescent="0.35">
      <c r="A12" s="1" t="s">
        <v>5</v>
      </c>
      <c r="B12" s="1">
        <v>5</v>
      </c>
      <c r="C12" s="2">
        <v>320</v>
      </c>
      <c r="D12">
        <f t="shared" si="2"/>
        <v>48571.549999999996</v>
      </c>
      <c r="E12" s="2">
        <f t="shared" si="1"/>
        <v>20.361193759999999</v>
      </c>
    </row>
    <row r="13" spans="1:5" x14ac:dyDescent="0.35">
      <c r="A13" s="1" t="s">
        <v>5</v>
      </c>
      <c r="B13" s="1">
        <v>6</v>
      </c>
      <c r="C13" s="2">
        <v>187</v>
      </c>
      <c r="D13">
        <f t="shared" si="2"/>
        <v>48571.549999999996</v>
      </c>
      <c r="E13" s="2">
        <f t="shared" si="1"/>
        <v>11.8985726035</v>
      </c>
    </row>
    <row r="14" spans="1:5" x14ac:dyDescent="0.35">
      <c r="A14" s="1" t="s">
        <v>6</v>
      </c>
      <c r="B14" s="1">
        <v>1</v>
      </c>
      <c r="C14" s="2">
        <v>172.54</v>
      </c>
      <c r="D14">
        <f>57143*0.81</f>
        <v>46285.83</v>
      </c>
      <c r="E14" s="2">
        <f t="shared" si="1"/>
        <v>10.461865811742001</v>
      </c>
    </row>
    <row r="15" spans="1:5" x14ac:dyDescent="0.35">
      <c r="A15" s="1" t="s">
        <v>6</v>
      </c>
      <c r="B15" s="1">
        <v>2</v>
      </c>
      <c r="C15" s="2">
        <v>198.95</v>
      </c>
      <c r="D15">
        <f t="shared" ref="D15:D19" si="3">57143*0.81</f>
        <v>46285.83</v>
      </c>
      <c r="E15" s="2">
        <f t="shared" si="1"/>
        <v>12.063221300835</v>
      </c>
    </row>
    <row r="16" spans="1:5" x14ac:dyDescent="0.35">
      <c r="A16" s="1" t="s">
        <v>6</v>
      </c>
      <c r="B16" s="1">
        <v>3</v>
      </c>
      <c r="C16" s="2">
        <v>237.32</v>
      </c>
      <c r="D16">
        <f t="shared" si="3"/>
        <v>46285.83</v>
      </c>
      <c r="E16" s="2">
        <f t="shared" si="1"/>
        <v>14.389764660035999</v>
      </c>
    </row>
    <row r="17" spans="1:5" x14ac:dyDescent="0.35">
      <c r="A17" s="1" t="s">
        <v>6</v>
      </c>
      <c r="B17" s="1">
        <v>4</v>
      </c>
      <c r="C17" s="2">
        <v>194</v>
      </c>
      <c r="D17">
        <f t="shared" si="3"/>
        <v>46285.83</v>
      </c>
      <c r="E17" s="2">
        <f t="shared" si="1"/>
        <v>11.7630808362</v>
      </c>
    </row>
    <row r="18" spans="1:5" x14ac:dyDescent="0.35">
      <c r="A18" s="1" t="s">
        <v>6</v>
      </c>
      <c r="B18" s="1">
        <v>5</v>
      </c>
      <c r="C18" s="2">
        <v>122</v>
      </c>
      <c r="D18">
        <f t="shared" si="3"/>
        <v>46285.83</v>
      </c>
      <c r="E18" s="2">
        <f t="shared" si="1"/>
        <v>7.3974013506</v>
      </c>
    </row>
    <row r="19" spans="1:5" x14ac:dyDescent="0.35">
      <c r="A19" s="1" t="s">
        <v>6</v>
      </c>
      <c r="B19" s="1">
        <v>6</v>
      </c>
      <c r="C19" s="2">
        <v>95.7</v>
      </c>
      <c r="D19">
        <f t="shared" si="3"/>
        <v>46285.83</v>
      </c>
      <c r="E19" s="2">
        <f t="shared" si="1"/>
        <v>5.8027156496099996</v>
      </c>
    </row>
    <row r="20" spans="1:5" x14ac:dyDescent="0.35">
      <c r="A20" s="1" t="s">
        <v>7</v>
      </c>
      <c r="B20" s="1">
        <v>1</v>
      </c>
      <c r="C20" s="2">
        <v>181.6</v>
      </c>
      <c r="D20">
        <f>57143*0.8</f>
        <v>45714.400000000001</v>
      </c>
      <c r="E20" s="2">
        <f t="shared" si="1"/>
        <v>10.875272902400001</v>
      </c>
    </row>
    <row r="21" spans="1:5" x14ac:dyDescent="0.35">
      <c r="A21" s="1" t="s">
        <v>7</v>
      </c>
      <c r="B21" s="1">
        <v>2</v>
      </c>
      <c r="C21" s="2">
        <v>124.25</v>
      </c>
      <c r="D21">
        <f t="shared" ref="D21:D25" si="4">57143*0.8</f>
        <v>45714.400000000001</v>
      </c>
      <c r="E21" s="2">
        <f t="shared" si="1"/>
        <v>7.4408186020000011</v>
      </c>
    </row>
    <row r="22" spans="1:5" x14ac:dyDescent="0.35">
      <c r="A22" s="1" t="s">
        <v>7</v>
      </c>
      <c r="B22" s="1">
        <v>3</v>
      </c>
      <c r="C22" s="2">
        <v>215.56</v>
      </c>
      <c r="D22">
        <f t="shared" si="4"/>
        <v>45714.400000000001</v>
      </c>
      <c r="E22" s="2">
        <f t="shared" si="1"/>
        <v>12.908996843840001</v>
      </c>
    </row>
    <row r="23" spans="1:5" x14ac:dyDescent="0.35">
      <c r="A23" s="1" t="s">
        <v>7</v>
      </c>
      <c r="B23" s="1">
        <v>4</v>
      </c>
      <c r="C23" s="2">
        <v>163.95</v>
      </c>
      <c r="D23">
        <f t="shared" si="4"/>
        <v>45714.400000000001</v>
      </c>
      <c r="E23" s="2">
        <f t="shared" si="1"/>
        <v>9.8182874027999993</v>
      </c>
    </row>
    <row r="24" spans="1:5" x14ac:dyDescent="0.35">
      <c r="A24" s="1" t="s">
        <v>7</v>
      </c>
      <c r="B24" s="1">
        <v>5</v>
      </c>
      <c r="C24" s="2">
        <v>144</v>
      </c>
      <c r="D24">
        <f t="shared" si="4"/>
        <v>45714.400000000001</v>
      </c>
      <c r="E24" s="2">
        <f t="shared" si="1"/>
        <v>8.6235644160000007</v>
      </c>
    </row>
    <row r="25" spans="1:5" x14ac:dyDescent="0.35">
      <c r="A25" s="1" t="s">
        <v>7</v>
      </c>
      <c r="B25" s="1">
        <v>6</v>
      </c>
      <c r="C25" s="2">
        <v>180.2</v>
      </c>
      <c r="D25">
        <f t="shared" si="4"/>
        <v>45714.400000000001</v>
      </c>
      <c r="E25" s="2">
        <f t="shared" si="1"/>
        <v>10.791432692800001</v>
      </c>
    </row>
    <row r="26" spans="1:5" x14ac:dyDescent="0.35">
      <c r="A26" s="1" t="s">
        <v>8</v>
      </c>
      <c r="B26" s="1">
        <v>1</v>
      </c>
      <c r="C26" s="2">
        <v>93.78</v>
      </c>
      <c r="D26">
        <f>57143*0.82</f>
        <v>46857.259999999995</v>
      </c>
      <c r="E26" s="2">
        <f t="shared" si="1"/>
        <v>5.7564987340679998</v>
      </c>
    </row>
    <row r="27" spans="1:5" x14ac:dyDescent="0.35">
      <c r="A27" s="1" t="s">
        <v>8</v>
      </c>
      <c r="B27" s="1">
        <v>2</v>
      </c>
      <c r="C27" s="2">
        <v>135.5</v>
      </c>
      <c r="D27">
        <f t="shared" ref="D27:D31" si="5">57143*0.82</f>
        <v>46857.259999999995</v>
      </c>
      <c r="E27" s="2">
        <f t="shared" si="1"/>
        <v>8.317397936299999</v>
      </c>
    </row>
    <row r="28" spans="1:5" x14ac:dyDescent="0.35">
      <c r="A28" s="1" t="s">
        <v>8</v>
      </c>
      <c r="B28" s="1">
        <v>3</v>
      </c>
      <c r="C28" s="2">
        <v>195.7</v>
      </c>
      <c r="D28">
        <f t="shared" si="5"/>
        <v>46857.259999999995</v>
      </c>
      <c r="E28" s="2">
        <f t="shared" si="1"/>
        <v>12.012655174419997</v>
      </c>
    </row>
    <row r="29" spans="1:5" x14ac:dyDescent="0.35">
      <c r="A29" s="1" t="s">
        <v>8</v>
      </c>
      <c r="B29" s="1">
        <v>4</v>
      </c>
      <c r="C29" s="2">
        <v>202.2</v>
      </c>
      <c r="D29">
        <f t="shared" si="5"/>
        <v>46857.259999999995</v>
      </c>
      <c r="E29" s="2">
        <f t="shared" si="1"/>
        <v>12.41164474332</v>
      </c>
    </row>
    <row r="30" spans="1:5" x14ac:dyDescent="0.35">
      <c r="A30" s="1" t="s">
        <v>8</v>
      </c>
      <c r="B30" s="1">
        <v>5</v>
      </c>
      <c r="C30" s="2">
        <v>218</v>
      </c>
      <c r="D30">
        <f t="shared" si="5"/>
        <v>46857.259999999995</v>
      </c>
      <c r="E30" s="2">
        <f t="shared" si="1"/>
        <v>13.381496310800001</v>
      </c>
    </row>
    <row r="31" spans="1:5" x14ac:dyDescent="0.35">
      <c r="A31" s="1" t="s">
        <v>8</v>
      </c>
      <c r="B31" s="1">
        <v>6</v>
      </c>
      <c r="C31" s="2">
        <v>228</v>
      </c>
      <c r="D31">
        <f t="shared" si="5"/>
        <v>46857.259999999995</v>
      </c>
      <c r="E31" s="2">
        <f t="shared" si="1"/>
        <v>13.995326416799999</v>
      </c>
    </row>
    <row r="32" spans="1:5" x14ac:dyDescent="0.35">
      <c r="A32" s="1" t="s">
        <v>9</v>
      </c>
      <c r="B32" s="1">
        <v>1</v>
      </c>
      <c r="C32" s="2">
        <v>213</v>
      </c>
      <c r="D32">
        <f>57143*0.62</f>
        <v>35428.659999999996</v>
      </c>
      <c r="E32" s="2">
        <f t="shared" si="1"/>
        <v>9.8856589997999986</v>
      </c>
    </row>
    <row r="33" spans="1:5" x14ac:dyDescent="0.35">
      <c r="A33" s="1" t="s">
        <v>9</v>
      </c>
      <c r="B33" s="1">
        <v>2</v>
      </c>
      <c r="C33" s="2">
        <v>165.4</v>
      </c>
      <c r="D33">
        <f t="shared" ref="D33:D37" si="6">57143*0.62</f>
        <v>35428.659999999996</v>
      </c>
      <c r="E33" s="2">
        <f t="shared" si="1"/>
        <v>7.6764694768399986</v>
      </c>
    </row>
    <row r="34" spans="1:5" x14ac:dyDescent="0.35">
      <c r="A34" s="1" t="s">
        <v>9</v>
      </c>
      <c r="B34" s="1">
        <v>3</v>
      </c>
      <c r="C34" s="2">
        <v>99.2</v>
      </c>
      <c r="D34">
        <f t="shared" si="6"/>
        <v>35428.659999999996</v>
      </c>
      <c r="E34" s="2">
        <f t="shared" si="1"/>
        <v>4.6040252243199999</v>
      </c>
    </row>
    <row r="35" spans="1:5" x14ac:dyDescent="0.35">
      <c r="A35" s="1" t="s">
        <v>9</v>
      </c>
      <c r="B35" s="1">
        <v>4</v>
      </c>
      <c r="C35" s="2">
        <v>269</v>
      </c>
      <c r="D35">
        <f t="shared" si="6"/>
        <v>35428.659999999996</v>
      </c>
      <c r="E35" s="2">
        <f t="shared" si="1"/>
        <v>12.484705497399998</v>
      </c>
    </row>
    <row r="36" spans="1:5" x14ac:dyDescent="0.35">
      <c r="A36" s="1" t="s">
        <v>9</v>
      </c>
      <c r="B36" s="1">
        <v>5</v>
      </c>
      <c r="C36" s="2">
        <v>134.19999999999999</v>
      </c>
      <c r="D36">
        <f t="shared" si="6"/>
        <v>35428.659999999996</v>
      </c>
      <c r="E36" s="2">
        <f t="shared" si="1"/>
        <v>6.2284292853199998</v>
      </c>
    </row>
    <row r="37" spans="1:5" x14ac:dyDescent="0.35">
      <c r="A37" s="1" t="s">
        <v>9</v>
      </c>
      <c r="B37" s="1">
        <v>6</v>
      </c>
      <c r="C37" s="2">
        <v>139</v>
      </c>
      <c r="D37">
        <f t="shared" si="6"/>
        <v>35428.659999999996</v>
      </c>
      <c r="E37" s="2">
        <f t="shared" si="1"/>
        <v>6.451204699399999</v>
      </c>
    </row>
    <row r="38" spans="1:5" x14ac:dyDescent="0.35">
      <c r="A38" s="1" t="s">
        <v>10</v>
      </c>
      <c r="B38" s="1">
        <v>1</v>
      </c>
      <c r="C38" s="2">
        <v>104.78</v>
      </c>
      <c r="D38">
        <f>57143*0.69</f>
        <v>39428.67</v>
      </c>
      <c r="E38" s="2">
        <f t="shared" si="1"/>
        <v>5.4120502158059995</v>
      </c>
    </row>
    <row r="39" spans="1:5" x14ac:dyDescent="0.35">
      <c r="A39" s="1" t="s">
        <v>10</v>
      </c>
      <c r="B39" s="1">
        <v>2</v>
      </c>
      <c r="C39" s="2">
        <v>118.72</v>
      </c>
      <c r="D39">
        <f t="shared" ref="D39:D43" si="7">57143*0.69</f>
        <v>39428.67</v>
      </c>
      <c r="E39" s="2">
        <f t="shared" si="1"/>
        <v>6.132072930144</v>
      </c>
    </row>
    <row r="40" spans="1:5" x14ac:dyDescent="0.35">
      <c r="A40" s="1" t="s">
        <v>10</v>
      </c>
      <c r="B40" s="1">
        <v>3</v>
      </c>
      <c r="C40" s="2">
        <v>183</v>
      </c>
      <c r="D40">
        <f t="shared" si="7"/>
        <v>39428.67</v>
      </c>
      <c r="E40" s="2">
        <f t="shared" si="1"/>
        <v>9.4522350590999995</v>
      </c>
    </row>
    <row r="41" spans="1:5" x14ac:dyDescent="0.35">
      <c r="A41" s="1" t="s">
        <v>10</v>
      </c>
      <c r="B41" s="1">
        <v>4</v>
      </c>
      <c r="C41" s="2">
        <v>121.5</v>
      </c>
      <c r="D41">
        <f t="shared" si="7"/>
        <v>39428.67</v>
      </c>
      <c r="E41" s="2">
        <f t="shared" si="1"/>
        <v>6.2756642605500002</v>
      </c>
    </row>
    <row r="42" spans="1:5" x14ac:dyDescent="0.35">
      <c r="A42" s="1" t="s">
        <v>10</v>
      </c>
      <c r="B42" s="1">
        <v>5</v>
      </c>
      <c r="C42" s="2">
        <v>96.4</v>
      </c>
      <c r="D42">
        <f t="shared" si="7"/>
        <v>39428.67</v>
      </c>
      <c r="E42" s="2">
        <f t="shared" si="1"/>
        <v>4.9792101622800011</v>
      </c>
    </row>
    <row r="43" spans="1:5" x14ac:dyDescent="0.35">
      <c r="A43" s="1" t="s">
        <v>10</v>
      </c>
      <c r="B43" s="1">
        <v>6</v>
      </c>
      <c r="C43" s="2">
        <v>148.1</v>
      </c>
      <c r="D43">
        <f t="shared" si="7"/>
        <v>39428.67</v>
      </c>
      <c r="E43" s="2">
        <f t="shared" si="1"/>
        <v>7.6495956953699995</v>
      </c>
    </row>
  </sheetData>
  <autoFilter ref="A1:E1" xr:uid="{DE815E75-D1B8-4165-A820-9654B890CD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rendimiento_ha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2025-04-14T18:12:00Z</dcterms:created>
  <dcterms:modified xsi:type="dcterms:W3CDTF">2025-04-14T19:47:24Z</dcterms:modified>
</cp:coreProperties>
</file>